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jsoni/Downloads/"/>
    </mc:Choice>
  </mc:AlternateContent>
  <xr:revisionPtr revIDLastSave="0" documentId="8_{A51411B8-243C-A245-9C60-356EC7178F51}" xr6:coauthVersionLast="47" xr6:coauthVersionMax="47" xr10:uidLastSave="{00000000-0000-0000-0000-000000000000}"/>
  <bookViews>
    <workbookView xWindow="0" yWindow="660" windowWidth="29400" windowHeight="17280" xr2:uid="{08B0D3BD-3FD0-0049-AED8-D704FCFA4AA9}"/>
  </bookViews>
  <sheets>
    <sheet name="Read Me" sheetId="5" r:id="rId1"/>
    <sheet name="Dashboard" sheetId="2" r:id="rId2"/>
    <sheet name="Transactions " sheetId="1" r:id="rId3"/>
    <sheet name="Holdings " sheetId="3" r:id="rId4"/>
    <sheet name="Analysi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4" l="1"/>
  <c r="F3" i="3"/>
  <c r="F4" i="3"/>
  <c r="F5" i="3"/>
  <c r="F2" i="3"/>
  <c r="E3" i="3"/>
  <c r="E4" i="3"/>
  <c r="E5" i="3"/>
  <c r="E2" i="3"/>
  <c r="G15" i="2"/>
  <c r="G14" i="2"/>
  <c r="D17" i="2"/>
  <c r="D16" i="2"/>
  <c r="D15" i="2"/>
  <c r="D14" i="2"/>
  <c r="A17" i="2"/>
  <c r="A16" i="2"/>
  <c r="A15" i="2"/>
  <c r="A14" i="2"/>
  <c r="B6" i="4"/>
  <c r="C3" i="3"/>
  <c r="H3" i="3" s="1"/>
  <c r="C4" i="3"/>
  <c r="H4" i="3" s="1"/>
  <c r="C5" i="3"/>
  <c r="H5" i="3" s="1"/>
  <c r="C2" i="3"/>
  <c r="H2" i="3" s="1"/>
  <c r="H3" i="1"/>
  <c r="H4" i="1"/>
  <c r="H5" i="1"/>
  <c r="H2" i="1"/>
  <c r="B2" i="4" l="1"/>
  <c r="A4" i="2"/>
  <c r="H14" i="2"/>
  <c r="B15" i="2"/>
  <c r="B16" i="2"/>
  <c r="B17" i="2"/>
  <c r="B14" i="2"/>
  <c r="B3" i="4"/>
  <c r="I2" i="3"/>
  <c r="K5" i="3"/>
  <c r="I5" i="3"/>
  <c r="K4" i="3"/>
  <c r="I4" i="3"/>
  <c r="K2" i="3"/>
  <c r="K3" i="3"/>
  <c r="I3" i="3"/>
  <c r="B4" i="4" l="1"/>
  <c r="J2" i="3"/>
  <c r="J5" i="3"/>
  <c r="E17" i="2"/>
  <c r="J4" i="3"/>
  <c r="E16" i="2"/>
  <c r="J3" i="3"/>
  <c r="E15" i="2"/>
  <c r="A6" i="2"/>
  <c r="H15" i="2"/>
  <c r="E14" i="2"/>
  <c r="I6" i="3"/>
  <c r="A8" i="2" s="1"/>
  <c r="A10" i="2" s="1"/>
</calcChain>
</file>

<file path=xl/sharedStrings.xml><?xml version="1.0" encoding="utf-8"?>
<sst xmlns="http://schemas.openxmlformats.org/spreadsheetml/2006/main" count="75" uniqueCount="52">
  <si>
    <t>Date</t>
  </si>
  <si>
    <t>Stock Name</t>
  </si>
  <si>
    <t>Symbol</t>
  </si>
  <si>
    <t>Transaction Type</t>
  </si>
  <si>
    <t>Quantity</t>
  </si>
  <si>
    <t>Price per Share</t>
  </si>
  <si>
    <t>Brokerage</t>
  </si>
  <si>
    <t>Total Amount</t>
  </si>
  <si>
    <t>Reliance Industries</t>
  </si>
  <si>
    <t>RELIANCE</t>
  </si>
  <si>
    <t>Buy</t>
  </si>
  <si>
    <t>HDFC Bank</t>
  </si>
  <si>
    <t>HDFCBANK</t>
  </si>
  <si>
    <t>TCS</t>
  </si>
  <si>
    <t>Infosys</t>
  </si>
  <si>
    <t>INFY</t>
  </si>
  <si>
    <t>Average Buy Price</t>
  </si>
  <si>
    <t>Total Invested</t>
  </si>
  <si>
    <t>Current Price</t>
  </si>
  <si>
    <t>Current Value</t>
  </si>
  <si>
    <t>Unrealized P/L</t>
  </si>
  <si>
    <t>Return %</t>
  </si>
  <si>
    <t>Portfolio Weight</t>
  </si>
  <si>
    <t>Metric</t>
  </si>
  <si>
    <t>Value</t>
  </si>
  <si>
    <t>Current Portfolio Value</t>
  </si>
  <si>
    <t>Total Unrealized P/L</t>
  </si>
  <si>
    <t>Overall Return</t>
  </si>
  <si>
    <t>Number of Holdings</t>
  </si>
  <si>
    <t>Largest Holding</t>
  </si>
  <si>
    <t>Best Performer</t>
  </si>
  <si>
    <t>Worst Performer</t>
  </si>
  <si>
    <t>PERSONAL INVESTMENT PORTFOLIO TRACKER</t>
  </si>
  <si>
    <t>Excel-Based Financial Analysis Dashboard</t>
  </si>
  <si>
    <t xml:space="preserve">Stock </t>
  </si>
  <si>
    <t xml:space="preserve">Amount </t>
  </si>
  <si>
    <t xml:space="preserve"> Total Invested</t>
  </si>
  <si>
    <t xml:space="preserve"> Current Portfolio Value</t>
  </si>
  <si>
    <t xml:space="preserve"> Total Unrealized P/L</t>
  </si>
  <si>
    <t xml:space="preserve"> Overall Return</t>
  </si>
  <si>
    <t>Personal Investment Portfolio Tracker</t>
  </si>
  <si>
    <t>Purpose:</t>
  </si>
  <si>
    <t>This project is an Excel-based portfolio management and financial analysis tool that helps track investment transactions, calculate current holdings and portfolio value, analyze unrealized profit/loss and returns, and visualize portfolio allocation through an interactive dashboard.</t>
  </si>
  <si>
    <t xml:space="preserve">An Excel-based tool for tracking investment transactions, holdings, portfolio value, unrealized P/L, returns and portfolio allocation. </t>
  </si>
  <si>
    <t>The completed tracker provides a consolidated view of portfolio holdings, investment value, unrealized profit/loss, returns and portfolio allocation through an Excel dashboard.</t>
  </si>
  <si>
    <r>
      <rPr>
        <b/>
        <sz val="20"/>
        <color theme="1"/>
        <rFont val="Aptos Narrow (Body)"/>
      </rPr>
      <t>Features:</t>
    </r>
    <r>
      <rPr>
        <sz val="20"/>
        <color theme="1"/>
        <rFont val="Aptos Narrow"/>
        <family val="2"/>
        <scheme val="minor"/>
      </rPr>
      <t xml:space="preserve">
- Transaction tracking
- Portfolio holdings calculation
- Current portfolio valuation
- Profit/loss analysis
- Return calculation
- Portfolio allocation
- Dashboard visualization</t>
    </r>
  </si>
  <si>
    <r>
      <rPr>
        <b/>
        <sz val="20"/>
        <color theme="1"/>
        <rFont val="Aptos Narrow (Body)"/>
      </rPr>
      <t>Project Outcome</t>
    </r>
    <r>
      <rPr>
        <b/>
        <sz val="12"/>
        <color theme="1"/>
        <rFont val="Aptos Narrow"/>
        <family val="2"/>
        <scheme val="minor"/>
      </rPr>
      <t>:</t>
    </r>
  </si>
  <si>
    <r>
      <rPr>
        <b/>
        <sz val="20"/>
        <color theme="1"/>
        <rFont val="Aptos Narrow (Body)"/>
      </rPr>
      <t>Limitations:</t>
    </r>
    <r>
      <rPr>
        <b/>
        <sz val="20"/>
        <color theme="1"/>
        <rFont val="Aptos Narrow"/>
        <family val="2"/>
        <scheme val="minor"/>
      </rPr>
      <t xml:space="preserve">
</t>
    </r>
    <r>
      <rPr>
        <sz val="20"/>
        <color theme="1"/>
        <rFont val="Aptos Narrow"/>
        <scheme val="minor"/>
      </rPr>
      <t>- Current market prices are manually entered.
- This beginner version does not calculate realized P/L or taxes.
- Historical market-price data is not automatically imported.</t>
    </r>
  </si>
  <si>
    <r>
      <rPr>
        <b/>
        <sz val="20"/>
        <color theme="1"/>
        <rFont val="Aptos Narrow (Body)"/>
      </rPr>
      <t>Future Improvements:</t>
    </r>
    <r>
      <rPr>
        <sz val="20"/>
        <color theme="1"/>
        <rFont val="Aptos Narrow"/>
        <scheme val="minor"/>
      </rPr>
      <t xml:space="preserve">
- Automatic market-price updates
- Python integration
- Risk analysis
- Sharpe ratio
- Portfolio volatility
- Web dashboard</t>
    </r>
  </si>
  <si>
    <r>
      <rPr>
        <u val="double"/>
        <sz val="24"/>
        <color theme="1"/>
        <rFont val="Aptos Narrow (Body)"/>
      </rPr>
      <t>Data Note:</t>
    </r>
    <r>
      <rPr>
        <sz val="20"/>
        <color theme="1"/>
        <rFont val="Aptos Narrow (Body)"/>
      </rPr>
      <t xml:space="preserve"> Sample transactions and market prices used in this project are illustrative and are intended to demonstrate portfolio tracking and financial analysis functionality.</t>
    </r>
  </si>
  <si>
    <t xml:space="preserve">Brokerage </t>
  </si>
  <si>
    <r>
      <rPr>
        <b/>
        <sz val="20"/>
        <color theme="1"/>
        <rFont val="Aptos Narrow (Body)"/>
      </rPr>
      <t>Tools Used:</t>
    </r>
    <r>
      <rPr>
        <sz val="20"/>
        <color theme="1"/>
        <rFont val="Aptos Narrow"/>
        <family val="2"/>
        <scheme val="minor"/>
      </rPr>
      <t xml:space="preserve">
Microsoft Excel
Key Excel Functions:  
- SUM
- SUMIFS
- IFERROR
- COUNTA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</si>
</sst>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[$₹-4009]\ * #,##0_ ;_ [$₹-4009]\ * \-#,##0_ ;_ [$₹-4009]\ * &quot;-&quot;??_ ;_ @_ "/>
    <numFmt numFmtId="165" formatCode="0.0%"/>
    <numFmt numFmtId="166" formatCode="_(* #,##0_);_(* \(#,##0\);_(* &quot;-&quot;??_);_(@_)"/>
    <numFmt numFmtId="167" formatCode="[$₹-4009]\ #,##0.00"/>
    <numFmt numFmtId="168" formatCode="[$₹-4009]\ #,##0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2"/>
      <color theme="1"/>
      <name val="Aptos Narrow (Body)"/>
    </font>
    <font>
      <sz val="16"/>
      <color theme="1"/>
      <name val="Aptos Narrow (Body)"/>
    </font>
    <font>
      <b/>
      <sz val="12"/>
      <color theme="1"/>
      <name val="Aptos Narrow"/>
      <scheme val="minor"/>
    </font>
    <font>
      <b/>
      <sz val="20"/>
      <color theme="1"/>
      <name val="Aptos Narrow (Body)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theme="1"/>
      <name val="Aptos Narrow (Body)"/>
    </font>
    <font>
      <sz val="20"/>
      <color theme="1"/>
      <name val="Aptos Narrow"/>
      <scheme val="minor"/>
    </font>
    <font>
      <sz val="12"/>
      <color theme="1"/>
      <name val="Aptos Narrow (Body)"/>
    </font>
    <font>
      <b/>
      <sz val="36"/>
      <color theme="1"/>
      <name val="Aptos Narrow (Body)"/>
    </font>
    <font>
      <u val="double"/>
      <sz val="24"/>
      <color theme="1"/>
      <name val="Aptos Narrow (Body)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5" fillId="0" borderId="2" xfId="0" applyFont="1" applyBorder="1"/>
    <xf numFmtId="0" fontId="5" fillId="0" borderId="3" xfId="0" applyFont="1" applyBorder="1"/>
    <xf numFmtId="0" fontId="2" fillId="0" borderId="1" xfId="0" applyFont="1" applyBorder="1"/>
    <xf numFmtId="164" fontId="0" fillId="0" borderId="1" xfId="1" applyNumberFormat="1" applyFont="1" applyBorder="1"/>
    <xf numFmtId="164" fontId="2" fillId="0" borderId="1" xfId="0" applyNumberFormat="1" applyFont="1" applyBorder="1"/>
    <xf numFmtId="9" fontId="0" fillId="0" borderId="1" xfId="2" applyFont="1" applyBorder="1"/>
    <xf numFmtId="10" fontId="0" fillId="0" borderId="1" xfId="2" applyNumberFormat="1" applyFont="1" applyBorder="1"/>
    <xf numFmtId="10" fontId="0" fillId="4" borderId="1" xfId="2" applyNumberFormat="1" applyFont="1" applyFill="1" applyBorder="1"/>
    <xf numFmtId="9" fontId="0" fillId="0" borderId="1" xfId="0" applyNumberFormat="1" applyBorder="1"/>
    <xf numFmtId="168" fontId="0" fillId="0" borderId="1" xfId="0" applyNumberFormat="1" applyBorder="1"/>
    <xf numFmtId="168" fontId="0" fillId="2" borderId="1" xfId="0" applyNumberFormat="1" applyFill="1" applyBorder="1"/>
    <xf numFmtId="2" fontId="0" fillId="0" borderId="1" xfId="0" applyNumberFormat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5" fillId="0" borderId="8" xfId="0" applyFont="1" applyBorder="1"/>
    <xf numFmtId="168" fontId="0" fillId="0" borderId="9" xfId="1" applyNumberFormat="1" applyFont="1" applyBorder="1"/>
    <xf numFmtId="0" fontId="5" fillId="0" borderId="9" xfId="0" applyFont="1" applyBorder="1"/>
    <xf numFmtId="168" fontId="0" fillId="0" borderId="9" xfId="0" applyNumberFormat="1" applyBorder="1"/>
    <xf numFmtId="167" fontId="0" fillId="0" borderId="9" xfId="0" applyNumberFormat="1" applyBorder="1"/>
    <xf numFmtId="165" fontId="0" fillId="0" borderId="10" xfId="2" applyNumberFormat="1" applyFont="1" applyBorder="1"/>
    <xf numFmtId="0" fontId="5" fillId="0" borderId="11" xfId="0" applyFont="1" applyBorder="1"/>
    <xf numFmtId="0" fontId="0" fillId="0" borderId="12" xfId="0" applyBorder="1"/>
    <xf numFmtId="0" fontId="0" fillId="0" borderId="13" xfId="0" applyBorder="1"/>
    <xf numFmtId="166" fontId="0" fillId="0" borderId="9" xfId="3" applyNumberFormat="1" applyFont="1" applyBorder="1"/>
    <xf numFmtId="166" fontId="0" fillId="0" borderId="10" xfId="3" applyNumberFormat="1" applyFont="1" applyBorder="1"/>
    <xf numFmtId="0" fontId="1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68" fontId="0" fillId="0" borderId="5" xfId="0" applyNumberFormat="1" applyBorder="1"/>
    <xf numFmtId="168" fontId="0" fillId="0" borderId="7" xfId="0" applyNumberFormat="1" applyBorder="1"/>
    <xf numFmtId="15" fontId="0" fillId="0" borderId="0" xfId="0" applyNumberFormat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Dashboard!$B$13</c:f>
              <c:strCache>
                <c:ptCount val="1"/>
                <c:pt idx="0">
                  <c:v>Current Value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455-1143-B9E4-47024B25F44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55-1143-B9E4-47024B25F44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455-1143-B9E4-47024B25F44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455-1143-B9E4-47024B25F4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Dashboard!$A$14:$A$17</c:f>
              <c:strCache>
                <c:ptCount val="4"/>
                <c:pt idx="0">
                  <c:v>Reliance Industries</c:v>
                </c:pt>
                <c:pt idx="1">
                  <c:v>HDFC Bank</c:v>
                </c:pt>
                <c:pt idx="2">
                  <c:v>TCS</c:v>
                </c:pt>
                <c:pt idx="3">
                  <c:v>Infosys</c:v>
                </c:pt>
              </c:strCache>
            </c:strRef>
          </c:cat>
          <c:val>
            <c:numRef>
              <c:f>Dashboard!$B$14:$B$17</c:f>
              <c:numCache>
                <c:formatCode>_(* #,##0_);_(* \(#,##0\);_(* "-"??_);_(@_)</c:formatCode>
                <c:ptCount val="4"/>
                <c:pt idx="0">
                  <c:v>7250</c:v>
                </c:pt>
                <c:pt idx="1">
                  <c:v>7760</c:v>
                </c:pt>
                <c:pt idx="2">
                  <c:v>9750</c:v>
                </c:pt>
                <c:pt idx="3">
                  <c:v>9360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8-234A-944E-73FFD573061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/>
              <a:t>Profit/Loss by Stock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333333333333333E-2"/>
          <c:y val="0.17840296004666087"/>
          <c:w val="0.93888888888888888"/>
          <c:h val="0.673279381743948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Dashboard!$E$13</c:f>
              <c:strCache>
                <c:ptCount val="1"/>
                <c:pt idx="0">
                  <c:v>Unrealized P/L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Dashboard!$D$14:$D$17</c:f>
              <c:strCache>
                <c:ptCount val="4"/>
                <c:pt idx="0">
                  <c:v>Reliance Industries</c:v>
                </c:pt>
                <c:pt idx="1">
                  <c:v>HDFC Bank</c:v>
                </c:pt>
                <c:pt idx="2">
                  <c:v>TCS</c:v>
                </c:pt>
                <c:pt idx="3">
                  <c:v>Infosys</c:v>
                </c:pt>
              </c:strCache>
            </c:strRef>
          </c:cat>
          <c:val>
            <c:numRef>
              <c:f>Dashboard!$E$14:$E$17</c:f>
              <c:numCache>
                <c:formatCode>[$₹-4009]\ #,##0</c:formatCode>
                <c:ptCount val="4"/>
                <c:pt idx="0">
                  <c:v>230</c:v>
                </c:pt>
                <c:pt idx="1">
                  <c:v>140</c:v>
                </c:pt>
                <c:pt idx="2">
                  <c:v>430</c:v>
                </c:pt>
                <c:pt idx="3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9-F045-9F89-3D0420CC4E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41992704"/>
        <c:axId val="1541994496"/>
      </c:barChart>
      <c:catAx>
        <c:axId val="154199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994496"/>
        <c:crosses val="autoZero"/>
        <c:auto val="1"/>
        <c:lblAlgn val="ctr"/>
        <c:lblOffset val="100"/>
        <c:noMultiLvlLbl val="0"/>
      </c:catAx>
      <c:valAx>
        <c:axId val="1541994496"/>
        <c:scaling>
          <c:orientation val="minMax"/>
        </c:scaling>
        <c:delete val="1"/>
        <c:axPos val="l"/>
        <c:numFmt formatCode="[$₹-4009]\ #,##0" sourceLinked="1"/>
        <c:majorTickMark val="none"/>
        <c:minorTickMark val="none"/>
        <c:tickLblPos val="nextTo"/>
        <c:crossAx val="154199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0" i="0" u="none" strike="noStrike" baseline="0">
                <a:effectLst/>
              </a:rPr>
              <a:t>Invested vs Current Portfolio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9430555555555556"/>
          <c:w val="0.93888888888888888"/>
          <c:h val="0.698665427238261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Dashboard!$H$13</c:f>
              <c:strCache>
                <c:ptCount val="1"/>
                <c:pt idx="0">
                  <c:v>Amount 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Dashboard!$G$14:$G$15</c:f>
              <c:strCache>
                <c:ptCount val="2"/>
                <c:pt idx="0">
                  <c:v>Total Invested</c:v>
                </c:pt>
                <c:pt idx="1">
                  <c:v>Current Portfolio Value</c:v>
                </c:pt>
              </c:strCache>
            </c:strRef>
          </c:cat>
          <c:val>
            <c:numRef>
              <c:f>Dashboard!$H$14:$H$15</c:f>
              <c:numCache>
                <c:formatCode>[$₹-4009]\ #,##0</c:formatCode>
                <c:ptCount val="2"/>
                <c:pt idx="0">
                  <c:v>32980</c:v>
                </c:pt>
                <c:pt idx="1">
                  <c:v>34120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9-1B45-873B-5F84B0E327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42512512"/>
        <c:axId val="1542514304"/>
      </c:barChart>
      <c:catAx>
        <c:axId val="154251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514304"/>
        <c:crosses val="autoZero"/>
        <c:auto val="1"/>
        <c:lblAlgn val="ctr"/>
        <c:lblOffset val="100"/>
        <c:noMultiLvlLbl val="0"/>
      </c:catAx>
      <c:valAx>
        <c:axId val="1542514304"/>
        <c:scaling>
          <c:orientation val="minMax"/>
        </c:scaling>
        <c:delete val="1"/>
        <c:axPos val="l"/>
        <c:numFmt formatCode="[$₹-4009]\ #,##0" sourceLinked="1"/>
        <c:majorTickMark val="none"/>
        <c:minorTickMark val="none"/>
        <c:tickLblPos val="nextTo"/>
        <c:crossAx val="154251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17</xdr:row>
      <xdr:rowOff>194734</xdr:rowOff>
    </xdr:from>
    <xdr:to>
      <xdr:col>1</xdr:col>
      <xdr:colOff>914399</xdr:colOff>
      <xdr:row>31</xdr:row>
      <xdr:rowOff>93134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06C4F3-4B8D-6D1D-21A8-A08878A5C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5080</xdr:colOff>
      <xdr:row>17</xdr:row>
      <xdr:rowOff>193040</xdr:rowOff>
    </xdr:from>
    <xdr:to>
      <xdr:col>6</xdr:col>
      <xdr:colOff>0</xdr:colOff>
      <xdr:row>31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D5E0BB-BD98-9599-31AE-EDAC1EDCD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301477</xdr:colOff>
      <xdr:row>17</xdr:row>
      <xdr:rowOff>195129</xdr:rowOff>
    </xdr:from>
    <xdr:to>
      <xdr:col>9</xdr:col>
      <xdr:colOff>213645</xdr:colOff>
      <xdr:row>30</xdr:row>
      <xdr:rowOff>47477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B9D489-2BE3-462B-326D-CDE390077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07280D-7651-E249-9CFF-910ACBC7FF61}" name="TransactionsTable" displayName="TransactionsTable" ref="A1:H5" totalsRowShown="0">
  <autoFilter ref="A1:H5" xr:uid="{6207280D-7651-E249-9CFF-910ACBC7FF61}"/>
  <tableColumns count="8">
    <tableColumn id="1" xr3:uid="{7A55B86A-72B5-ED40-ACE8-7B3813E74A53}" name="Date" dataDxfId="2"/>
    <tableColumn id="2" xr3:uid="{4390C127-AC20-0E47-A7F6-5B3BB5E72B33}" name="Stock Name"/>
    <tableColumn id="3" xr3:uid="{CB32EB3F-A683-1640-9709-AC9A53D6BD57}" name="Symbol"/>
    <tableColumn id="4" xr3:uid="{D089ABF6-8ACE-C544-B5F1-4C3F505600A6}" name="Transaction Type"/>
    <tableColumn id="5" xr3:uid="{C761F5B6-1D70-694B-A87C-792A82676D51}" name="Quantity"/>
    <tableColumn id="6" xr3:uid="{18E62EE6-1DED-804D-A879-43CD8A7FE19F}" name="Price per Share"/>
    <tableColumn id="7" xr3:uid="{A4C261F0-37FC-4544-A65A-C9B1E446D7C4}" name="Brokerage"/>
    <tableColumn id="8" xr3:uid="{6603D9DA-6078-D343-9631-7136F438F3D4}" name="Total Amount">
      <calculatedColumnFormula>E2*F2+G2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4699-A7ED-334A-815C-BD21E7DCA034}">
  <dimension ref="A1:A19"/>
  <sheetViews>
    <sheetView showGridLines="0" tabSelected="1" topLeftCell="A7" zoomScaleNormal="172" workbookViewId="0">
      <selection activeCell="A8" sqref="A8"/>
    </sheetView>
  </sheetViews>
  <sheetFormatPr baseColWidth="10" defaultRowHeight="16" x14ac:dyDescent="0.2"/>
  <cols>
    <col min="1" max="1" width="124.33203125" customWidth="1"/>
  </cols>
  <sheetData>
    <row r="1" spans="1:1" ht="47" x14ac:dyDescent="0.2">
      <c r="A1" s="31" t="s">
        <v>40</v>
      </c>
    </row>
    <row r="2" spans="1:1" ht="112" x14ac:dyDescent="0.2">
      <c r="A2" s="32" t="s">
        <v>42</v>
      </c>
    </row>
    <row r="3" spans="1:1" ht="16" customHeight="1" x14ac:dyDescent="0.2">
      <c r="A3" s="33"/>
    </row>
    <row r="4" spans="1:1" ht="25" customHeight="1" x14ac:dyDescent="0.2">
      <c r="A4" s="34" t="s">
        <v>41</v>
      </c>
    </row>
    <row r="5" spans="1:1" ht="26" customHeight="1" x14ac:dyDescent="0.2">
      <c r="A5" s="35" t="s">
        <v>43</v>
      </c>
    </row>
    <row r="6" spans="1:1" x14ac:dyDescent="0.2">
      <c r="A6" s="33"/>
    </row>
    <row r="7" spans="1:1" ht="196" x14ac:dyDescent="0.2">
      <c r="A7" s="35" t="s">
        <v>51</v>
      </c>
    </row>
    <row r="8" spans="1:1" x14ac:dyDescent="0.2">
      <c r="A8" s="36"/>
    </row>
    <row r="9" spans="1:1" ht="224" x14ac:dyDescent="0.2">
      <c r="A9" s="35" t="s">
        <v>45</v>
      </c>
    </row>
    <row r="10" spans="1:1" x14ac:dyDescent="0.2">
      <c r="A10" s="33"/>
    </row>
    <row r="11" spans="1:1" ht="45" customHeight="1" x14ac:dyDescent="0.2">
      <c r="A11" s="37" t="s">
        <v>46</v>
      </c>
    </row>
    <row r="12" spans="1:1" ht="57" customHeight="1" x14ac:dyDescent="0.2">
      <c r="A12" s="38" t="s">
        <v>44</v>
      </c>
    </row>
    <row r="13" spans="1:1" x14ac:dyDescent="0.2">
      <c r="A13" s="36"/>
    </row>
    <row r="14" spans="1:1" ht="112" x14ac:dyDescent="0.2">
      <c r="A14" s="34" t="s">
        <v>47</v>
      </c>
    </row>
    <row r="15" spans="1:1" x14ac:dyDescent="0.2">
      <c r="A15" s="36"/>
    </row>
    <row r="16" spans="1:1" ht="196" x14ac:dyDescent="0.2">
      <c r="A16" s="39" t="s">
        <v>48</v>
      </c>
    </row>
    <row r="17" spans="1:1" x14ac:dyDescent="0.2">
      <c r="A17" s="36"/>
    </row>
    <row r="18" spans="1:1" x14ac:dyDescent="0.2">
      <c r="A18" s="36"/>
    </row>
    <row r="19" spans="1:1" ht="61" x14ac:dyDescent="0.2">
      <c r="A19" s="40" t="s">
        <v>49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8E03-48A4-1745-99D0-166538E72BCB}">
  <dimension ref="A1:H17"/>
  <sheetViews>
    <sheetView showGridLines="0" zoomScale="107" workbookViewId="0">
      <selection activeCell="K17" sqref="K17"/>
    </sheetView>
  </sheetViews>
  <sheetFormatPr baseColWidth="10" defaultRowHeight="16" x14ac:dyDescent="0.2"/>
  <cols>
    <col min="1" max="1" width="72.5" bestFit="1" customWidth="1"/>
    <col min="2" max="2" width="12.33203125" bestFit="1" customWidth="1"/>
    <col min="4" max="4" width="16.83203125" bestFit="1" customWidth="1"/>
    <col min="5" max="5" width="12.6640625" bestFit="1" customWidth="1"/>
    <col min="7" max="7" width="19.6640625" bestFit="1" customWidth="1"/>
  </cols>
  <sheetData>
    <row r="1" spans="1:8" ht="29" x14ac:dyDescent="0.35">
      <c r="A1" s="1" t="s">
        <v>32</v>
      </c>
    </row>
    <row r="2" spans="1:8" ht="23" thickBot="1" x14ac:dyDescent="0.35">
      <c r="A2" s="2" t="s">
        <v>33</v>
      </c>
    </row>
    <row r="3" spans="1:8" x14ac:dyDescent="0.2">
      <c r="A3" s="20" t="s">
        <v>36</v>
      </c>
    </row>
    <row r="4" spans="1:8" x14ac:dyDescent="0.2">
      <c r="A4" s="21">
        <f>Analysis!B2</f>
        <v>32980</v>
      </c>
    </row>
    <row r="5" spans="1:8" x14ac:dyDescent="0.2">
      <c r="A5" s="22" t="s">
        <v>37</v>
      </c>
    </row>
    <row r="6" spans="1:8" x14ac:dyDescent="0.2">
      <c r="A6" s="23">
        <f>Analysis!B3</f>
        <v>34120</v>
      </c>
    </row>
    <row r="7" spans="1:8" x14ac:dyDescent="0.2">
      <c r="A7" s="22" t="s">
        <v>38</v>
      </c>
    </row>
    <row r="8" spans="1:8" x14ac:dyDescent="0.2">
      <c r="A8" s="24">
        <f>'Holdings '!I6</f>
        <v>1140</v>
      </c>
    </row>
    <row r="9" spans="1:8" x14ac:dyDescent="0.2">
      <c r="A9" s="22" t="s">
        <v>39</v>
      </c>
    </row>
    <row r="10" spans="1:8" ht="17" thickBot="1" x14ac:dyDescent="0.25">
      <c r="A10" s="25">
        <f>A8/A4</f>
        <v>3.4566403881140087E-2</v>
      </c>
    </row>
    <row r="12" spans="1:8" ht="17" thickBot="1" x14ac:dyDescent="0.25"/>
    <row r="13" spans="1:8" x14ac:dyDescent="0.2">
      <c r="A13" s="26" t="s">
        <v>34</v>
      </c>
      <c r="B13" s="20" t="s">
        <v>19</v>
      </c>
      <c r="D13" s="6" t="s">
        <v>34</v>
      </c>
      <c r="E13" s="7" t="s">
        <v>20</v>
      </c>
      <c r="G13" s="6" t="s">
        <v>23</v>
      </c>
      <c r="H13" s="7" t="s">
        <v>35</v>
      </c>
    </row>
    <row r="14" spans="1:8" x14ac:dyDescent="0.2">
      <c r="A14" s="27" t="str">
        <f>'Holdings '!A2</f>
        <v>Reliance Industries</v>
      </c>
      <c r="B14" s="29">
        <f>'Holdings '!H2</f>
        <v>7250</v>
      </c>
      <c r="D14" s="4" t="str">
        <f>'Holdings '!A2</f>
        <v>Reliance Industries</v>
      </c>
      <c r="E14" s="41">
        <f>'Holdings '!I2</f>
        <v>230</v>
      </c>
      <c r="G14" s="4" t="str">
        <f>Analysis!A2</f>
        <v>Total Invested</v>
      </c>
      <c r="H14" s="41">
        <f>Analysis!B2</f>
        <v>32980</v>
      </c>
    </row>
    <row r="15" spans="1:8" ht="17" thickBot="1" x14ac:dyDescent="0.25">
      <c r="A15" s="27" t="str">
        <f>'Holdings '!A3</f>
        <v>HDFC Bank</v>
      </c>
      <c r="B15" s="29">
        <f>'Holdings '!H3</f>
        <v>7760</v>
      </c>
      <c r="D15" s="4" t="str">
        <f>'Holdings '!A3</f>
        <v>HDFC Bank</v>
      </c>
      <c r="E15" s="41">
        <f>'Holdings '!I3</f>
        <v>140</v>
      </c>
      <c r="G15" s="5" t="str">
        <f>Analysis!A3</f>
        <v>Current Portfolio Value</v>
      </c>
      <c r="H15" s="42">
        <f>Analysis!B3</f>
        <v>34120</v>
      </c>
    </row>
    <row r="16" spans="1:8" x14ac:dyDescent="0.2">
      <c r="A16" s="27" t="str">
        <f>'Holdings '!A4</f>
        <v>TCS</v>
      </c>
      <c r="B16" s="29">
        <f>'Holdings '!H4</f>
        <v>9750</v>
      </c>
      <c r="D16" s="4" t="str">
        <f>'Holdings '!A4</f>
        <v>TCS</v>
      </c>
      <c r="E16" s="41">
        <f>'Holdings '!I4</f>
        <v>430</v>
      </c>
    </row>
    <row r="17" spans="1:5" ht="17" thickBot="1" x14ac:dyDescent="0.25">
      <c r="A17" s="28" t="str">
        <f>'Holdings '!A5</f>
        <v>Infosys</v>
      </c>
      <c r="B17" s="30">
        <f>'Holdings '!H5</f>
        <v>9360</v>
      </c>
      <c r="D17" s="5" t="str">
        <f>'Holdings '!A5</f>
        <v>Infosys</v>
      </c>
      <c r="E17" s="42">
        <f>'Holdings '!I5</f>
        <v>340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F1ADE-E64F-7040-8A85-A8A3446C51EA}">
  <dimension ref="A1:H5"/>
  <sheetViews>
    <sheetView zoomScale="150" workbookViewId="0">
      <selection activeCell="C11" sqref="C11"/>
    </sheetView>
  </sheetViews>
  <sheetFormatPr baseColWidth="10" defaultRowHeight="16" x14ac:dyDescent="0.2"/>
  <cols>
    <col min="1" max="1" width="8.5" bestFit="1" customWidth="1"/>
    <col min="2" max="2" width="16.83203125" bestFit="1" customWidth="1"/>
    <col min="3" max="3" width="10.6640625" bestFit="1" customWidth="1"/>
    <col min="4" max="4" width="17.33203125" bestFit="1" customWidth="1"/>
    <col min="5" max="5" width="10.6640625" bestFit="1" customWidth="1"/>
    <col min="6" max="6" width="16" bestFit="1" customWidth="1"/>
    <col min="7" max="7" width="12.1640625" bestFit="1" customWidth="1"/>
    <col min="8" max="8" width="14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43">
        <v>46270</v>
      </c>
      <c r="B2" t="s">
        <v>8</v>
      </c>
      <c r="C2" t="s">
        <v>9</v>
      </c>
      <c r="D2" t="s">
        <v>10</v>
      </c>
      <c r="E2">
        <v>5</v>
      </c>
      <c r="F2">
        <v>1400</v>
      </c>
      <c r="G2">
        <v>20</v>
      </c>
      <c r="H2">
        <f>E2*F2+G2</f>
        <v>7020</v>
      </c>
    </row>
    <row r="3" spans="1:8" x14ac:dyDescent="0.2">
      <c r="A3" s="43">
        <v>46271</v>
      </c>
      <c r="B3" t="s">
        <v>11</v>
      </c>
      <c r="C3" t="s">
        <v>12</v>
      </c>
      <c r="D3" t="s">
        <v>10</v>
      </c>
      <c r="E3">
        <v>8</v>
      </c>
      <c r="F3">
        <v>950</v>
      </c>
      <c r="G3">
        <v>20</v>
      </c>
      <c r="H3">
        <f t="shared" ref="H3:H5" si="0">E3*F3+G3</f>
        <v>7620</v>
      </c>
    </row>
    <row r="4" spans="1:8" x14ac:dyDescent="0.2">
      <c r="A4" s="43">
        <v>46272</v>
      </c>
      <c r="B4" t="s">
        <v>13</v>
      </c>
      <c r="C4" t="s">
        <v>13</v>
      </c>
      <c r="D4" t="s">
        <v>10</v>
      </c>
      <c r="E4">
        <v>3</v>
      </c>
      <c r="F4">
        <v>3100</v>
      </c>
      <c r="G4">
        <v>20</v>
      </c>
      <c r="H4">
        <f t="shared" si="0"/>
        <v>9320</v>
      </c>
    </row>
    <row r="5" spans="1:8" x14ac:dyDescent="0.2">
      <c r="A5" s="43">
        <v>46273</v>
      </c>
      <c r="B5" t="s">
        <v>14</v>
      </c>
      <c r="C5" t="s">
        <v>15</v>
      </c>
      <c r="D5" t="s">
        <v>10</v>
      </c>
      <c r="E5">
        <v>6</v>
      </c>
      <c r="F5">
        <v>1500</v>
      </c>
      <c r="G5">
        <v>20</v>
      </c>
      <c r="H5">
        <f t="shared" si="0"/>
        <v>9020</v>
      </c>
    </row>
  </sheetData>
  <dataValidations count="1">
    <dataValidation type="list" allowBlank="1" showInputMessage="1" showErrorMessage="1" sqref="D2:D5" xr:uid="{2BBB8582-1BDF-424C-B783-5FE273153941}">
      <formula1>"Buy,Sell"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C437-0482-5645-A0C6-0050769C3C8B}">
  <dimension ref="A1:K6"/>
  <sheetViews>
    <sheetView zoomScale="150" workbookViewId="0">
      <selection activeCell="G14" sqref="G14"/>
    </sheetView>
  </sheetViews>
  <sheetFormatPr baseColWidth="10" defaultRowHeight="16" x14ac:dyDescent="0.2"/>
  <cols>
    <col min="1" max="1" width="16.83203125" bestFit="1" customWidth="1"/>
    <col min="2" max="2" width="10.6640625" bestFit="1" customWidth="1"/>
    <col min="3" max="3" width="8.1640625" bestFit="1" customWidth="1"/>
    <col min="4" max="4" width="15.83203125" bestFit="1" customWidth="1"/>
    <col min="5" max="5" width="10" bestFit="1" customWidth="1"/>
    <col min="6" max="6" width="12.6640625" bestFit="1" customWidth="1"/>
    <col min="7" max="7" width="12.1640625" bestFit="1" customWidth="1"/>
    <col min="8" max="8" width="12.5" bestFit="1" customWidth="1"/>
    <col min="9" max="9" width="13.6640625" customWidth="1"/>
    <col min="11" max="11" width="14.5" bestFit="1" customWidth="1"/>
  </cols>
  <sheetData>
    <row r="1" spans="1:11" x14ac:dyDescent="0.2">
      <c r="A1" s="8" t="s">
        <v>1</v>
      </c>
      <c r="B1" s="8" t="s">
        <v>2</v>
      </c>
      <c r="C1" s="8" t="s">
        <v>4</v>
      </c>
      <c r="D1" s="8" t="s">
        <v>16</v>
      </c>
      <c r="E1" s="8" t="s">
        <v>50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</row>
    <row r="2" spans="1:11" x14ac:dyDescent="0.2">
      <c r="A2" s="3" t="s">
        <v>8</v>
      </c>
      <c r="B2" s="3" t="s">
        <v>9</v>
      </c>
      <c r="C2" s="3">
        <f>SUMIFS(TransactionsTable[Quantity],TransactionsTable[Symbol],B2,TransactionsTable[Transaction Type],"Buy")-SUMIFS(TransactionsTable[Quantity],TransactionsTable[Symbol],B2,TransactionsTable[Transaction Type],"Sell")</f>
        <v>5</v>
      </c>
      <c r="D2" s="15">
        <v>1400</v>
      </c>
      <c r="E2" s="15">
        <f>SUMIFS(TransactionsTable[Brokerage],TransactionsTable[Symbol],B2,TransactionsTable[Transaction Type],"Buy")</f>
        <v>20</v>
      </c>
      <c r="F2" s="15">
        <f>C2*D2+E2</f>
        <v>7020</v>
      </c>
      <c r="G2" s="9">
        <v>1450</v>
      </c>
      <c r="H2" s="10">
        <f>C2*G2</f>
        <v>7250</v>
      </c>
      <c r="I2" s="15">
        <f>H2-F2</f>
        <v>230</v>
      </c>
      <c r="J2" s="13">
        <f>IFERROR(I2/F2,0)</f>
        <v>3.2763532763532763E-2</v>
      </c>
      <c r="K2" s="11">
        <f>IFERROR(H2/SUM($H$2:$H$5),0)</f>
        <v>0.21248534583821804</v>
      </c>
    </row>
    <row r="3" spans="1:11" x14ac:dyDescent="0.2">
      <c r="A3" s="3" t="s">
        <v>11</v>
      </c>
      <c r="B3" s="3" t="s">
        <v>12</v>
      </c>
      <c r="C3" s="3">
        <f>SUMIFS(TransactionsTable[Quantity],TransactionsTable[Symbol],B3,TransactionsTable[Transaction Type],"Buy")-SUMIFS(TransactionsTable[Quantity],TransactionsTable[Symbol],B3,TransactionsTable[Transaction Type],"Sell")</f>
        <v>8</v>
      </c>
      <c r="D3" s="15">
        <v>950</v>
      </c>
      <c r="E3" s="15">
        <f>SUMIFS(TransactionsTable[Brokerage],TransactionsTable[Symbol],B3,TransactionsTable[Transaction Type],"Buy")</f>
        <v>20</v>
      </c>
      <c r="F3" s="15">
        <f t="shared" ref="F3:F5" si="0">C3*D3+E3</f>
        <v>7620</v>
      </c>
      <c r="G3" s="9">
        <v>970</v>
      </c>
      <c r="H3" s="10">
        <f>C3*G3</f>
        <v>7760</v>
      </c>
      <c r="I3" s="15">
        <f t="shared" ref="I3:I5" si="1">H3-F3</f>
        <v>140</v>
      </c>
      <c r="J3" s="12">
        <f t="shared" ref="J3:J5" si="2">IFERROR(I3/F3,0)</f>
        <v>1.8372703412073491E-2</v>
      </c>
      <c r="K3" s="11">
        <f t="shared" ref="K3:K5" si="3">IFERROR(H3/SUM($H$2:$H$5),0)</f>
        <v>0.22743259085580306</v>
      </c>
    </row>
    <row r="4" spans="1:11" x14ac:dyDescent="0.2">
      <c r="A4" s="3" t="s">
        <v>13</v>
      </c>
      <c r="B4" s="3" t="s">
        <v>13</v>
      </c>
      <c r="C4" s="3">
        <f>SUMIFS(TransactionsTable[Quantity],TransactionsTable[Symbol],B4,TransactionsTable[Transaction Type],"Buy")-SUMIFS(TransactionsTable[Quantity],TransactionsTable[Symbol],B4,TransactionsTable[Transaction Type],"Sell")</f>
        <v>3</v>
      </c>
      <c r="D4" s="15">
        <v>3100</v>
      </c>
      <c r="E4" s="15">
        <f>SUMIFS(TransactionsTable[Brokerage],TransactionsTable[Symbol],B4,TransactionsTable[Transaction Type],"Buy")</f>
        <v>20</v>
      </c>
      <c r="F4" s="15">
        <f t="shared" si="0"/>
        <v>9320</v>
      </c>
      <c r="G4" s="9">
        <v>3250</v>
      </c>
      <c r="H4" s="10">
        <f>C4*G4</f>
        <v>9750</v>
      </c>
      <c r="I4" s="15">
        <f t="shared" si="1"/>
        <v>430</v>
      </c>
      <c r="J4" s="12">
        <f t="shared" si="2"/>
        <v>4.6137339055793994E-2</v>
      </c>
      <c r="K4" s="11">
        <f t="shared" si="3"/>
        <v>0.28575615474794841</v>
      </c>
    </row>
    <row r="5" spans="1:11" x14ac:dyDescent="0.2">
      <c r="A5" s="3" t="s">
        <v>14</v>
      </c>
      <c r="B5" s="3" t="s">
        <v>15</v>
      </c>
      <c r="C5" s="3">
        <f>SUMIFS(TransactionsTable[Quantity],TransactionsTable[Symbol],B5,TransactionsTable[Transaction Type],"Buy")-SUMIFS(TransactionsTable[Quantity],TransactionsTable[Symbol],B5,TransactionsTable[Transaction Type],"Sell")</f>
        <v>6</v>
      </c>
      <c r="D5" s="15">
        <v>1500</v>
      </c>
      <c r="E5" s="15">
        <f>SUMIFS(TransactionsTable[Brokerage],TransactionsTable[Symbol],B5,TransactionsTable[Transaction Type],"Buy")</f>
        <v>20</v>
      </c>
      <c r="F5" s="15">
        <f t="shared" si="0"/>
        <v>9020</v>
      </c>
      <c r="G5" s="9">
        <v>1560</v>
      </c>
      <c r="H5" s="10">
        <f>C5*G5</f>
        <v>9360</v>
      </c>
      <c r="I5" s="15">
        <f t="shared" si="1"/>
        <v>340</v>
      </c>
      <c r="J5" s="12">
        <f t="shared" si="2"/>
        <v>3.7694013303769404E-2</v>
      </c>
      <c r="K5" s="11">
        <f t="shared" si="3"/>
        <v>0.27432590855803046</v>
      </c>
    </row>
    <row r="6" spans="1:11" x14ac:dyDescent="0.2">
      <c r="A6" s="3"/>
      <c r="B6" s="3"/>
      <c r="C6" s="3"/>
      <c r="D6" s="3"/>
      <c r="E6" s="3"/>
      <c r="F6" s="3"/>
      <c r="G6" s="3"/>
      <c r="H6" s="3"/>
      <c r="I6" s="16">
        <f>SUM(I2:I5)</f>
        <v>1140</v>
      </c>
      <c r="J6" s="14"/>
      <c r="K6" s="3"/>
    </row>
  </sheetData>
  <conditionalFormatting sqref="I2:J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6AD0-F169-004F-AF07-F593223DD85B}">
  <dimension ref="A1:B9"/>
  <sheetViews>
    <sheetView zoomScale="150" workbookViewId="0">
      <selection activeCell="E18" sqref="E18"/>
    </sheetView>
  </sheetViews>
  <sheetFormatPr baseColWidth="10" defaultRowHeight="16" x14ac:dyDescent="0.2"/>
  <cols>
    <col min="1" max="1" width="19.6640625" bestFit="1" customWidth="1"/>
    <col min="2" max="2" width="12.6640625" bestFit="1" customWidth="1"/>
  </cols>
  <sheetData>
    <row r="1" spans="1:2" x14ac:dyDescent="0.2">
      <c r="A1" s="8" t="s">
        <v>23</v>
      </c>
      <c r="B1" s="8" t="s">
        <v>24</v>
      </c>
    </row>
    <row r="2" spans="1:2" x14ac:dyDescent="0.2">
      <c r="A2" s="3" t="s">
        <v>17</v>
      </c>
      <c r="B2" s="15">
        <f>SUM('Holdings '!F2:F50)</f>
        <v>32980</v>
      </c>
    </row>
    <row r="3" spans="1:2" x14ac:dyDescent="0.2">
      <c r="A3" s="3" t="s">
        <v>25</v>
      </c>
      <c r="B3" s="15">
        <f>SUM('Holdings '!H2:H50)</f>
        <v>34120</v>
      </c>
    </row>
    <row r="4" spans="1:2" x14ac:dyDescent="0.2">
      <c r="A4" s="3" t="s">
        <v>26</v>
      </c>
      <c r="B4" s="15">
        <f>SUM('Holdings '!I2:I5)</f>
        <v>1140</v>
      </c>
    </row>
    <row r="5" spans="1:2" x14ac:dyDescent="0.2">
      <c r="A5" s="3" t="s">
        <v>27</v>
      </c>
      <c r="B5" s="12">
        <f>IFERROR(B4/B2,0)</f>
        <v>3.4566403881140087E-2</v>
      </c>
    </row>
    <row r="6" spans="1:2" x14ac:dyDescent="0.2">
      <c r="A6" s="3" t="s">
        <v>28</v>
      </c>
      <c r="B6" s="3">
        <f>COUNTA('Holdings '!B2:B5)</f>
        <v>4</v>
      </c>
    </row>
    <row r="7" spans="1:2" x14ac:dyDescent="0.2">
      <c r="A7" s="3" t="s">
        <v>29</v>
      </c>
      <c r="B7" s="17" t="s">
        <v>13</v>
      </c>
    </row>
    <row r="8" spans="1:2" x14ac:dyDescent="0.2">
      <c r="A8" s="3" t="s">
        <v>30</v>
      </c>
      <c r="B8" s="18" t="s">
        <v>13</v>
      </c>
    </row>
    <row r="9" spans="1:2" x14ac:dyDescent="0.2">
      <c r="A9" s="3" t="s">
        <v>31</v>
      </c>
      <c r="B9" s="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Dashboard</vt:lpstr>
      <vt:lpstr>Transactions </vt:lpstr>
      <vt:lpstr>Holdings 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Swarnkar</dc:creator>
  <cp:lastModifiedBy>Anuj Swarnkar</cp:lastModifiedBy>
  <dcterms:created xsi:type="dcterms:W3CDTF">2026-09-15T20:33:14Z</dcterms:created>
  <dcterms:modified xsi:type="dcterms:W3CDTF">2026-10-02T06:50:52Z</dcterms:modified>
</cp:coreProperties>
</file>